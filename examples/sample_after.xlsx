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Sensitivit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0.06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1060</v>
      </c>
      <c r="C7">
        <f>C6*(1+$B$4+0.02)</f>
        <v>1188</v>
      </c>
      <c r="D7">
        <f>D6*(1+$B$4)</f>
        <v>1272</v>
      </c>
      <c r="E7">
        <f>E6*(1+$B$4)</f>
        <v>1378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26500</v>
      </c>
      <c r="C9">
        <f>C7*C8</f>
        <v>29700</v>
      </c>
      <c r="D9">
        <v>32448</v>
      </c>
      <c r="E9">
        <f>E7*E8</f>
        <v>35828</v>
      </c>
    </row>
    <row r="11">
      <c r="A11" t="str">
        <v>Discounted revenue</v>
      </c>
      <c r="B11">
        <f>B9*0.85</f>
        <v>22525</v>
      </c>
    </row>
    <row r="13">
      <c r="A13" t="str">
        <v>Cohorts</v>
      </c>
      <c r="B13">
        <v>0</v>
      </c>
    </row>
    <row r="14">
      <c r="A14" t="str">
        <v>Revenue per cohort</v>
      </c>
      <c r="B14" t="e">
        <f>B9/B13</f>
        <v>#DIV/0!</v>
      </c>
    </row>
    <row r="16">
      <c r="A16" t="str">
        <v>Prior year revenue</v>
      </c>
      <c r="B16" t="e">
        <f>#REF!B9</f>
        <v>#REF!</v>
      </c>
    </row>
    <row r="18">
      <c r="A18" t="str">
        <v>Monthly ramp</v>
      </c>
      <c r="B18">
        <v>100</v>
      </c>
    </row>
    <row r="19">
      <c r="B19">
        <f>B18*1.01</f>
        <v>101</v>
      </c>
    </row>
    <row r="20">
      <c r="B20">
        <f>B19*1.05</f>
        <v>106.05</v>
      </c>
    </row>
    <row r="21">
      <c r="B21">
        <f>B20*1.01</f>
        <v>107.1105</v>
      </c>
    </row>
    <row r="22">
      <c r="B22">
        <f>B21*1.01</f>
        <v>108.181605</v>
      </c>
    </row>
  </sheetData>
  <ignoredErrors>
    <ignoredError numberStoredAsText="1" sqref="A1:E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Travel</v>
      </c>
      <c r="B6">
        <v>12</v>
      </c>
      <c r="C6">
        <v>14</v>
      </c>
      <c r="D6">
        <v>11</v>
      </c>
      <c r="E6">
        <v>16</v>
      </c>
    </row>
    <row r="7">
      <c r="A7" t="str">
        <v>Software</v>
      </c>
      <c r="B7">
        <v>60</v>
      </c>
      <c r="C7">
        <v>62</v>
      </c>
      <c r="D7">
        <v>64</v>
      </c>
      <c r="E7">
        <v>66</v>
      </c>
    </row>
    <row r="8">
      <c r="A8" t="str">
        <v>Total</v>
      </c>
      <c r="B8">
        <f>SUM(B4:B7)</f>
        <v>582</v>
      </c>
      <c r="C8">
        <f>SUM(C4:C7)</f>
        <v>596</v>
      </c>
      <c r="D8">
        <f>SUM(D4:D7)</f>
        <v>610</v>
      </c>
      <c r="E8">
        <f>SUM(E4:E7)</f>
        <v>627</v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Data>
    <row r="1">
      <c r="A1" t="str">
        <v>Sensitivity</v>
      </c>
    </row>
    <row r="3">
      <c r="A3" t="str">
        <v>Growth</v>
      </c>
      <c r="B3" t="str">
        <v>Revenue</v>
      </c>
    </row>
    <row r="4">
      <c r="A4">
        <v>0.04</v>
      </c>
      <c r="B4">
        <f>'Revenue build'!B9</f>
        <v>26500</v>
      </c>
    </row>
    <row r="5">
      <c r="A5">
        <v>0.06</v>
      </c>
      <c r="B5">
        <f>'Revenue build'!B9*1.5</f>
        <v>39750</v>
      </c>
    </row>
  </sheetData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