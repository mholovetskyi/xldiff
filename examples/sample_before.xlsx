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 build" sheetId="1" r:id="rId1"/>
    <sheet name="Operating costs" sheetId="2" r:id="rId2"/>
    <sheet name="Prior year" sheetId="3" r:id="rId3"/>
  </sheets>
  <definedNames>
    <definedName name="GrowthRate">'Revenue build'!$B$4</definedName>
    <definedName name="TAX1">'Revenue build'!$B$24</definedName>
    <definedName name="LegacyOpex">'Operating costs'!$B$7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Revenue build</v>
      </c>
    </row>
    <row r="3">
      <c r="A3" t="str">
        <v>Quarter</v>
      </c>
      <c r="B3" t="str">
        <v>Q1</v>
      </c>
      <c r="C3" t="str">
        <v>Q2</v>
      </c>
      <c r="D3" t="str">
        <v>Q3</v>
      </c>
      <c r="E3" t="str">
        <v>Q4</v>
      </c>
    </row>
    <row r="4">
      <c r="A4" t="str">
        <v>Growth rate</v>
      </c>
      <c r="B4">
        <v>0.04</v>
      </c>
    </row>
    <row r="6">
      <c r="A6" t="str">
        <v>Base units</v>
      </c>
      <c r="B6">
        <v>1000</v>
      </c>
      <c r="C6">
        <v>1100</v>
      </c>
      <c r="D6">
        <v>1200</v>
      </c>
      <c r="E6">
        <v>1300</v>
      </c>
    </row>
    <row r="7">
      <c r="A7" t="str">
        <v>Units</v>
      </c>
      <c r="B7">
        <f>B6*(1+$B$4)</f>
        <v>1040</v>
      </c>
      <c r="C7">
        <f>C6*(1+$B$4)</f>
        <v>1144</v>
      </c>
      <c r="D7">
        <f>D6*(1+$B$4)</f>
        <v>1248</v>
      </c>
      <c r="E7">
        <f>E6*(1+$B$4)+5</f>
        <v>1357</v>
      </c>
    </row>
    <row r="8">
      <c r="A8" t="str">
        <v>Price</v>
      </c>
      <c r="B8">
        <v>25</v>
      </c>
      <c r="C8">
        <v>25</v>
      </c>
      <c r="D8">
        <v>26</v>
      </c>
      <c r="E8">
        <v>26</v>
      </c>
    </row>
    <row r="9">
      <c r="A9" t="str">
        <v>Revenue</v>
      </c>
      <c r="B9">
        <f>B7*B8</f>
        <v>26000</v>
      </c>
      <c r="C9">
        <f>C7*C8</f>
        <v>28600</v>
      </c>
      <c r="D9">
        <f>D7*D8</f>
        <v>32448</v>
      </c>
      <c r="E9">
        <f>E7*E8</f>
        <v>35282</v>
      </c>
    </row>
    <row r="11">
      <c r="A11" t="str">
        <v>Discounted revenue</v>
      </c>
      <c r="B11">
        <f>B9*0.9</f>
        <v>23400</v>
      </c>
    </row>
    <row r="13">
      <c r="A13" t="str">
        <v>Cohorts</v>
      </c>
      <c r="B13">
        <v>4</v>
      </c>
    </row>
    <row r="14">
      <c r="A14" t="str">
        <v>Revenue per cohort</v>
      </c>
      <c r="B14">
        <f>B9/B13</f>
        <v>6500</v>
      </c>
    </row>
    <row r="16">
      <c r="A16" t="str">
        <v>Prior year revenue</v>
      </c>
      <c r="B16">
        <f>'Prior year'!B9</f>
        <v>24000</v>
      </c>
    </row>
    <row r="18">
      <c r="A18" t="str">
        <v>Monthly ramp</v>
      </c>
      <c r="B18">
        <v>100</v>
      </c>
    </row>
    <row r="19">
      <c r="B19">
        <f>B18*1.01</f>
        <v>101</v>
      </c>
    </row>
    <row r="20">
      <c r="B20">
        <f>B19*1.01</f>
        <v>102.01</v>
      </c>
    </row>
    <row r="21">
      <c r="B21">
        <f>B20*1.01</f>
        <v>103.0301</v>
      </c>
    </row>
    <row r="22">
      <c r="B22">
        <f>B21*1.01</f>
        <v>104.060401</v>
      </c>
    </row>
    <row r="24">
      <c r="A24" t="str">
        <v>Tax rate</v>
      </c>
      <c r="B24">
        <v>0.2</v>
      </c>
    </row>
  </sheetData>
  <ignoredErrors>
    <ignoredError numberStoredAsText="1" sqref="A1:E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Operating costs</v>
      </c>
    </row>
    <row r="3">
      <c r="A3" t="str">
        <v>Item</v>
      </c>
      <c r="B3" t="str">
        <v>Q1</v>
      </c>
      <c r="C3" t="str">
        <v>Q2</v>
      </c>
      <c r="D3" t="str">
        <v>Q3</v>
      </c>
      <c r="E3" t="str">
        <v>Q4</v>
      </c>
    </row>
    <row r="4">
      <c r="A4" t="str">
        <v>Salaries</v>
      </c>
      <c r="B4">
        <v>420</v>
      </c>
      <c r="C4">
        <v>430</v>
      </c>
      <c r="D4">
        <v>440</v>
      </c>
      <c r="E4">
        <v>450</v>
      </c>
    </row>
    <row r="5">
      <c r="A5" t="str">
        <v>Rent</v>
      </c>
      <c r="B5">
        <v>90</v>
      </c>
      <c r="C5">
        <v>90</v>
      </c>
      <c r="D5">
        <v>95</v>
      </c>
      <c r="E5">
        <v>95</v>
      </c>
    </row>
    <row r="6">
      <c r="A6" t="str">
        <v>Software</v>
      </c>
      <c r="B6">
        <v>60</v>
      </c>
      <c r="C6">
        <v>62</v>
      </c>
      <c r="D6">
        <v>64</v>
      </c>
      <c r="E6">
        <v>66</v>
      </c>
    </row>
    <row r="7">
      <c r="A7" t="str">
        <v>Total</v>
      </c>
      <c r="B7">
        <f>SUM(B4:B6)</f>
        <v>570</v>
      </c>
      <c r="C7">
        <f>SUM(C4:C6)</f>
        <v>582</v>
      </c>
      <c r="D7">
        <f>SUM(D4:D6)</f>
        <v>599</v>
      </c>
      <c r="E7">
        <f>SUM(E4:E6)</f>
        <v>611</v>
      </c>
    </row>
    <row r="8">
      <c r="A8" t="str">
        <v>After tax</v>
      </c>
      <c r="B8">
        <f>B7*TAX1</f>
        <v>114</v>
      </c>
      <c r="C8">
        <f>C7*TAX1</f>
        <v>116.4</v>
      </c>
      <c r="D8">
        <f>D7*TAX1</f>
        <v>119.80000000000001</v>
      </c>
      <c r="E8">
        <f>E7*TAX1</f>
        <v>122.2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Prior year</v>
      </c>
    </row>
    <row r="3">
      <c r="A3" t="str">
        <v>Revenue</v>
      </c>
    </row>
    <row r="9">
      <c r="B9">
        <v>24000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 build</vt:lpstr>
      <vt:lpstr>Operating costs</vt:lpstr>
      <vt:lpstr>Prior year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