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  <sheet name="Prior year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0.04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1040</v>
      </c>
      <c r="C7">
        <f>C6*(1+$B$4)</f>
        <v>1144</v>
      </c>
      <c r="D7">
        <f>D6*(1+$B$4)</f>
        <v>1248</v>
      </c>
      <c r="E7">
        <f>E6*(1+$B$4)+5</f>
        <v>1357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26000</v>
      </c>
      <c r="C9">
        <f>C7*C8</f>
        <v>28600</v>
      </c>
      <c r="D9">
        <f>D7*D8</f>
        <v>32448</v>
      </c>
      <c r="E9">
        <f>E7*E8</f>
        <v>35282</v>
      </c>
    </row>
    <row r="11">
      <c r="A11" t="str">
        <v>Discounted revenue</v>
      </c>
      <c r="B11">
        <f>B9*0.9</f>
        <v>23400</v>
      </c>
    </row>
    <row r="13">
      <c r="A13" t="str">
        <v>Cohorts</v>
      </c>
      <c r="B13">
        <v>4</v>
      </c>
    </row>
    <row r="14">
      <c r="A14" t="str">
        <v>Revenue per cohort</v>
      </c>
      <c r="B14">
        <f>B9/B13</f>
        <v>6500</v>
      </c>
    </row>
    <row r="16">
      <c r="A16" t="str">
        <v>Prior year revenue</v>
      </c>
      <c r="B16">
        <f>'Prior year'!B9</f>
        <v>24000</v>
      </c>
    </row>
  </sheetData>
  <ignoredErrors>
    <ignoredError numberStoredAsText="1" sqref="A1: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Salaries</v>
      </c>
      <c r="B4">
        <v>420</v>
      </c>
      <c r="C4">
        <v>430</v>
      </c>
      <c r="D4">
        <v>440</v>
      </c>
      <c r="E4">
        <v>450</v>
      </c>
    </row>
    <row r="5">
      <c r="A5" t="str">
        <v>Rent</v>
      </c>
      <c r="B5">
        <v>90</v>
      </c>
      <c r="C5">
        <v>90</v>
      </c>
      <c r="D5">
        <v>95</v>
      </c>
      <c r="E5">
        <v>95</v>
      </c>
    </row>
    <row r="6">
      <c r="A6" t="str">
        <v>Software</v>
      </c>
      <c r="B6">
        <v>60</v>
      </c>
      <c r="C6">
        <v>62</v>
      </c>
      <c r="D6">
        <v>64</v>
      </c>
      <c r="E6">
        <v>66</v>
      </c>
    </row>
    <row r="7">
      <c r="A7" t="str">
        <v>Total</v>
      </c>
      <c r="B7">
        <f>SUM(B4:B6)</f>
        <v>570</v>
      </c>
      <c r="C7">
        <f>SUM(C4:C6)</f>
        <v>582</v>
      </c>
      <c r="D7">
        <f>SUM(D4:D6)</f>
        <v>599</v>
      </c>
      <c r="E7">
        <f>SUM(E4:E6)</f>
        <v>611</v>
      </c>
    </row>
  </sheetData>
  <ignoredErrors>
    <ignoredError numberStoredAsText="1" sqref="A1:E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Data>
    <row r="1">
      <c r="A1" t="str">
        <v>Prior year</v>
      </c>
    </row>
    <row r="3">
      <c r="A3" t="str">
        <v>Revenue</v>
      </c>
    </row>
    <row r="9">
      <c r="B9">
        <v>24000</v>
      </c>
    </row>
  </sheetData>
  <ignoredErrors>
    <ignoredError numberStoredAsText="1" sqref="A1:B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 build</vt:lpstr>
      <vt:lpstr>Operating costs</vt:lpstr>
      <vt:lpstr>Prior year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