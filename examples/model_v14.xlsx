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uild" sheetId="1" state="visible" r:id="rId3"/>
    <sheet name="Ope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<sst xmlns="http://schemas.openxmlformats.org/spreadsheetml/2006/main" count="21" uniqueCount="21">
  <si>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Revenue build</t>
  </si>
  <si>
    <t xml:space="preserve">Quarter</t>
  </si>
  <si>
    <t xml:space="preserve">Q1</t>
  </si>
  <si>
    <t xml:space="preserve">Q2</t>
  </si>
  <si>
    <t xml:space="preserve">Q3</t>
  </si>
  <si>
    <t xml:space="preserve">Q4</t>
  </si>
  <si>
    <t xml:space="preserve">Growth rate</t>
  </si>
  <si>
    <t xml:space="preserve">Base units</t>
  </si>
  <si>
    <t xml:space="preserve">Units</t>
  </si>
  <si>
    <t xml:space="preserve">Revenue</t>
  </si>
  <si>
    <t xml:space="preserve">Churn cost</t>
  </si>
  <si>
    <t xml:space="preserve">Total revenue</t>
  </si>
  <si>
    <t xml:space="preserve">Price</t>
  </si>
  <si>
    <t xml:space="preserve">Discount factor</t>
  </si>
  <si>
    <t xml:space="preserve">Operating expenses</t>
  </si>
  <si>
    <t xml:space="preserve">Salaries</t>
  </si>
  <si>
    <t xml:space="preserve">Rent</t>
  </si>
  <si>
    <t xml:space="preserve">Software</t>
  </si>
  <si>
    <t xml:space="preserve">Marketing</t>
  </si>
  <si>
    <t xml:space="preserve">Travel</t>
  </si>
  <si>
    <t xml:space="preserve">Total opex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</si>
</sst>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</row>
    <row r="5" customFormat="false" ht="15" hidden="false" customHeight="false" outlineLevel="0" collapsed="false">
      <c r="B5" s="0" t="s">
        <v>6</v>
      </c>
      <c r="C5" s="0" t="n">
        <v>0.03</v>
      </c>
    </row>
    <row r="9" customFormat="false" ht="15" hidden="false" customHeight="false" outlineLevel="0" collapsed="false">
      <c r="B9" s="0" t="s">
        <v>7</v>
      </c>
      <c r="C9" s="0" t="n">
        <v>1000</v>
      </c>
      <c r="D9" s="0" t="n">
        <v>1050</v>
      </c>
      <c r="E9" s="0" t="n">
        <v>1100</v>
      </c>
      <c r="F9" s="0" t="n">
        <v>1150</v>
      </c>
    </row>
    <row r="10" customFormat="false" ht="15" hidden="false" customHeight="false" outlineLevel="0" collapsed="false">
      <c r="B10" s="0" t="s">
        <v>8</v>
      </c>
      <c r="C10" s="0" t="n">
        <f aca="false">C9*(1+$C$5)</f>
        <v>1030</v>
      </c>
      <c r="D10" s="0" t="n">
        <f aca="false">D9*(1+$C$5)</f>
        <v>1081.5</v>
      </c>
      <c r="E10" s="0" t="n">
        <f aca="false">E9*(1+$C$5)</f>
        <v>1133</v>
      </c>
      <c r="F10" s="0" t="n">
        <f aca="false">F9*(1+$C$5)</f>
        <v>1184.5</v>
      </c>
    </row>
    <row r="12" customFormat="false" ht="15" hidden="false" customHeight="false" outlineLevel="0" collapsed="false">
      <c r="B12" s="0" t="s">
        <v>9</v>
      </c>
      <c r="C12" s="0" t="n">
        <f aca="false">C9*C22</f>
        <v>120000</v>
      </c>
      <c r="D12" s="0" t="n">
        <f aca="false">D9*D22</f>
        <v>126000</v>
      </c>
      <c r="E12" s="0" t="n">
        <f aca="false">E9*E23</f>
        <v>990</v>
      </c>
      <c r="F12" s="0" t="n">
        <f aca="false">F9*F22</f>
        <v>143750</v>
      </c>
    </row>
    <row r="13" customFormat="false" ht="15" hidden="false" customHeight="false" outlineLevel="0" collapsed="false">
      <c r="B13" s="0" t="s">
        <v>10</v>
      </c>
      <c r="C13" s="0" t="n">
        <f aca="false">C12*0.05</f>
        <v>6000</v>
      </c>
      <c r="D13" s="0" t="n">
        <f aca="false">D12*0.05</f>
        <v>6300</v>
      </c>
      <c r="E13" s="0" t="n">
        <f aca="false">E12*0.05</f>
        <v>49.5</v>
      </c>
      <c r="F13" s="0" t="n">
        <f aca="false">F12*0.05</f>
        <v>7187.5</v>
      </c>
    </row>
    <row r="14" customFormat="false" ht="15" hidden="false" customHeight="false" outlineLevel="0" collapsed="false">
      <c r="B14" s="0" t="s">
        <v>11</v>
      </c>
      <c r="C14" s="0" t="n">
        <f aca="false">SUM(C12:F12)</f>
        <v>390740</v>
      </c>
    </row>
    <row r="22" customFormat="false" ht="15" hidden="false" customHeight="false" outlineLevel="0" collapsed="false">
      <c r="B22" s="0" t="s">
        <v>12</v>
      </c>
      <c r="C22" s="0" t="n">
        <v>120</v>
      </c>
      <c r="D22" s="0" t="n">
        <v>120</v>
      </c>
      <c r="E22" s="0" t="n">
        <v>125</v>
      </c>
      <c r="F22" s="0" t="n">
        <v>125</v>
      </c>
    </row>
    <row r="23" customFormat="false" ht="15" hidden="false" customHeight="false" outlineLevel="0" collapsed="false">
      <c r="B23" s="0" t="s">
        <v>13</v>
      </c>
      <c r="C23" s="0" t="n">
        <v>0.9</v>
      </c>
      <c r="D23" s="0" t="n">
        <v>0.9</v>
      </c>
      <c r="E23" s="0" t="n">
        <v>0.9</v>
      </c>
      <c r="F23" s="0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</v>
      </c>
    </row>
    <row r="4" customFormat="false" ht="15" hidden="false" customHeight="false" outlineLevel="0" collapsed="false">
      <c r="B4" s="0" t="s">
        <v>15</v>
      </c>
      <c r="C4" s="0" t="n">
        <v>400000</v>
      </c>
      <c r="D4" s="0" t="n">
        <f aca="false">C4*1.1</f>
        <v>440000</v>
      </c>
    </row>
    <row r="5" customFormat="false" ht="15" hidden="false" customHeight="false" outlineLevel="0" collapsed="false">
      <c r="B5" s="0" t="s">
        <v>16</v>
      </c>
      <c r="C5" s="0" t="n">
        <v>60000</v>
      </c>
      <c r="D5" s="0" t="n">
        <f aca="false">C5*1.1</f>
        <v>66000</v>
      </c>
    </row>
    <row r="6" customFormat="false" ht="15" hidden="false" customHeight="false" outlineLevel="0" collapsed="false">
      <c r="B6" s="0" t="s">
        <v>17</v>
      </c>
      <c r="C6" s="0" t="n">
        <v>25000</v>
      </c>
      <c r="D6" s="0" t="n">
        <f aca="false">C6*1.1</f>
        <v>27500</v>
      </c>
    </row>
    <row r="7" customFormat="false" ht="15" hidden="false" customHeight="false" outlineLevel="0" collapsed="false">
      <c r="B7" s="0" t="s">
        <v>18</v>
      </c>
      <c r="C7" s="0" t="n">
        <v>90000</v>
      </c>
      <c r="D7" s="0" t="n">
        <f aca="false">C7*1.1</f>
        <v>99000</v>
      </c>
    </row>
    <row r="8" customFormat="false" ht="15" hidden="false" customHeight="false" outlineLevel="0" collapsed="false">
      <c r="B8" s="0" t="s">
        <v>19</v>
      </c>
      <c r="C8" s="0" t="n">
        <v>18000</v>
      </c>
      <c r="D8" s="0" t="n">
        <f aca="false">C8*1.1</f>
        <v>19800</v>
      </c>
    </row>
    <row r="10" customFormat="false" ht="15" hidden="false" customHeight="false" outlineLevel="0" collapsed="false">
      <c r="B10" s="0" t="s">
        <v>20</v>
      </c>
      <c r="C10" s="0" t="n">
        <f aca="false">SUM(C4:C8)</f>
        <v>593000</v>
      </c>
      <c r="D10" s="0" t="n">
        <f aca="false">SUM(D4:D8)</f>
        <v>652300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2026-08-05T01:25:55Z</dcterms:created>
  <dc:creator>openpyxl</dc:creator>
  <dc:description/>
  <dc:language>en-US</dc:language>
  <cp:lastModifiedBy/>
  <dcterms:modified xsi:type="dcterms:W3CDTF">2026-08-05T01:25:55Z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